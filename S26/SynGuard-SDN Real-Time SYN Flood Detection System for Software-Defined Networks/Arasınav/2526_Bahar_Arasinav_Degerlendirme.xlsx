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ogrencioguedutr.sharepoint.com/sites/ESOGU_BilgMh_Akademik/Shared Documents/General/MUDEK/Ders Bilgi Sistemi/4.MuhendislikArastirmalari/2025-2026/Bahar/Arasınav/SynGuard-SDN Real-Time SYN Flood Detection System for Software-Defined Networks/"/>
    </mc:Choice>
  </mc:AlternateContent>
  <xr:revisionPtr revIDLastSave="129" documentId="13_ncr:1_{64503292-9E06-41B7-99E5-3658027C6698}" xr6:coauthVersionLast="47" xr6:coauthVersionMax="47" xr10:uidLastSave="{B8DB2958-06C9-43B6-A2A6-9A6BDACF054A}"/>
  <bookViews>
    <workbookView xWindow="0" yWindow="600" windowWidth="28800" windowHeight="16240" xr2:uid="{00000000-000D-0000-FFFF-FFFF00000000}"/>
  </bookViews>
  <sheets>
    <sheet name="Arasınav" sheetId="1" r:id="rId1"/>
    <sheet name="Sayfa2" sheetId="3" r:id="rId2"/>
    <sheet name="Sayfa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44" i="1"/>
  <c r="E41" i="1"/>
  <c r="E25" i="1"/>
  <c r="F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tc={965B13F5-3201-4646-95D4-5EAD2C141531}</author>
    <author>tc={F1E43EFF-9C1B-4C9B-B1BE-14C6DDB3DE63}</author>
    <author>tc={B3A74B25-83D3-4E4C-AAC9-3391D7CAF5A2}</author>
  </authors>
  <commentList>
    <comment ref="C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Bölüm başkanlığının bilgisi var. Öğrenciler anlaşmazlık yaşadığından dolayı ekipteki diğer kişi çalışmadan ayrıldı.</t>
      </text>
    </comment>
    <comment ref="D16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Bir sonraki hücreyi doldurmayı unutmayınız hocam</t>
      </text>
    </comment>
    <comment ref="D18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Bir önceki hücreyi doldurmayı unutmayınız hocam</t>
      </text>
    </comment>
  </commentList>
</comments>
</file>

<file path=xl/sharedStrings.xml><?xml version="1.0" encoding="utf-8"?>
<sst xmlns="http://schemas.openxmlformats.org/spreadsheetml/2006/main" count="87" uniqueCount="81">
  <si>
    <t>ARASINAV DEĞERLENDİRME ŞABLONU</t>
  </si>
  <si>
    <t>Projenin Adı:</t>
  </si>
  <si>
    <t>Proje Ekibi:</t>
  </si>
  <si>
    <t>Destekleyen Kurum/Kuruluş:</t>
  </si>
  <si>
    <t>Değerlendiren</t>
  </si>
  <si>
    <t>Puan</t>
  </si>
  <si>
    <t>Not</t>
  </si>
  <si>
    <t>PLANLAMA (25)</t>
  </si>
  <si>
    <t>A.1.Özet (Abstract) ve Anahtar Kelimeler (Keywords)</t>
  </si>
  <si>
    <t>UG</t>
  </si>
  <si>
    <t>A.2.Bilgi, Gereksinim, 
Belirleme, Problemin 
Tanımlanması</t>
  </si>
  <si>
    <t>A.2. için kısa yönetim bilgisi</t>
  </si>
  <si>
    <t>A.2.1. Amaç</t>
  </si>
  <si>
    <t>EŞG</t>
  </si>
  <si>
    <t>A.2.2.Konu ve Kapsam</t>
  </si>
  <si>
    <t>A.2.3.Literatür Özeti</t>
  </si>
  <si>
    <t>ZC</t>
  </si>
  <si>
    <t>A.3.Beklenen Fayda</t>
  </si>
  <si>
    <t>A.3.1.Özgün Değer</t>
  </si>
  <si>
    <t>A.3.2.Yaygın Etki/Katma Değer</t>
  </si>
  <si>
    <t>İD</t>
  </si>
  <si>
    <t>A.4.Yöntem</t>
  </si>
  <si>
    <t>A.5.Araştırma Olanakları</t>
  </si>
  <si>
    <t>AY</t>
  </si>
  <si>
    <t>verilmemiş</t>
  </si>
  <si>
    <t>A.6.Çalışma Takvimi</t>
  </si>
  <si>
    <t>A.6.1.İş zaman çizelgesi</t>
  </si>
  <si>
    <t>A.6.2.Kim ne iş yapacak</t>
  </si>
  <si>
    <t>İÖ</t>
  </si>
  <si>
    <t>BÖLÜM TOPLAMI</t>
  </si>
  <si>
    <t>Not:Tübitak vb proje geçmiş ise PLANLAMA'dan belirtmek kaydı ile tam puan (25 puan) alınır. (Var ise 1; yok ise 0)</t>
  </si>
  <si>
    <t>ANALİZ (25)</t>
  </si>
  <si>
    <t>B.1.Sistem Gereksinimlerini Ortaya Çıkarma, Yöntem ve Teknikleri</t>
  </si>
  <si>
    <t>B.2.Sistem Gereksinimleri</t>
  </si>
  <si>
    <t>B.2.1.İşlevsel gereksinimler</t>
  </si>
  <si>
    <t>YA</t>
  </si>
  <si>
    <t>B.2.2.Sistem ve kullanıcı ara yüzleri ile ilgili gereksinimler</t>
  </si>
  <si>
    <t>EÇ</t>
  </si>
  <si>
    <t>B.2.3.Veriye iilgili gereksinimler</t>
  </si>
  <si>
    <t>B.2.4.Kullanıcılar ve insan faktörü gereksinimleri, 
güvenlik gereksinimleri</t>
  </si>
  <si>
    <t>UY</t>
  </si>
  <si>
    <t>B.2.5.Teknik ve kaynak gereksinimleri, fiziksel gereksinimler</t>
  </si>
  <si>
    <t>EG</t>
  </si>
  <si>
    <t>Biraz daha detaya girebilrdiniz</t>
  </si>
  <si>
    <t>Not:Belirlenen sistem gereksinimleri tasarımda kullanılacak 
kadar detaylı değilse -10 puan alınır.</t>
  </si>
  <si>
    <t>TASARIM(40)</t>
  </si>
  <si>
    <t>C.1.Sistem Tasarımı</t>
  </si>
  <si>
    <t>ŞI</t>
  </si>
  <si>
    <t>Sistem tasarımı figür yoktur</t>
  </si>
  <si>
    <t>C.2.Kullanıcı ve Sistem Ara Yüz Tasarımları</t>
  </si>
  <si>
    <t>ED</t>
  </si>
  <si>
    <t>C.3.Test Tasarımı</t>
  </si>
  <si>
    <t>C.3.1.Gereksinim analizlerinden teste yönelik hedeflerin
 detaylandırılması</t>
  </si>
  <si>
    <t>SÖA</t>
  </si>
  <si>
    <t>C.3.2.Fonksiyonel test tasarımı</t>
  </si>
  <si>
    <t>C.3.3.Performans test tasarımı</t>
  </si>
  <si>
    <t>SO</t>
  </si>
  <si>
    <t>Not:Bu başlık altında tasarım yoksa veya 
yeterli değilse -10 puan alınır.</t>
  </si>
  <si>
    <t>TAKİP EDEN KISIMLARIN (C.4.-C.6.) OLMASI GEREKİYORSA ORTALAMASI ALINIR</t>
  </si>
  <si>
    <t>C.4.Yazılım Tasarımı</t>
  </si>
  <si>
    <t>C.4.1.Gereksinime bağlı tasarım kalıpları seçimi</t>
  </si>
  <si>
    <t>KÖ</t>
  </si>
  <si>
    <t>C.4.2.UML kullanılarak tasarım diyagramları oluştırma</t>
  </si>
  <si>
    <t>C.5.Veri Tabanı Tasarımı</t>
  </si>
  <si>
    <t>C.5.1.Veri tabanı isterlerse dökümü</t>
  </si>
  <si>
    <t>ENY</t>
  </si>
  <si>
    <t>C.5.2.E/R diyagramı</t>
  </si>
  <si>
    <t>C.5.3.Stored producers, triggers kısıtlarının tasarımı</t>
  </si>
  <si>
    <t>SBK</t>
  </si>
  <si>
    <t>İlişkisel VT yok, SP, trigger yok.</t>
  </si>
  <si>
    <t>C.6.Donanım Tasarımı</t>
  </si>
  <si>
    <t>C.6.1.Sistem mekanik bileşen tasarımlarının verilmesi</t>
  </si>
  <si>
    <t>yok</t>
  </si>
  <si>
    <t>C.6.2.Elektronik tasarım</t>
  </si>
  <si>
    <t>MÖ</t>
  </si>
  <si>
    <t>C.6.3.Gömülü yazılım tasarımı</t>
  </si>
  <si>
    <t>SUNUM(10)</t>
  </si>
  <si>
    <t>Görsel Materyal</t>
  </si>
  <si>
    <t>Danışman</t>
  </si>
  <si>
    <t>Zamanı Etkin Kullanma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</si>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</sst>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theme="1"/>
      <name val="Arial Black"/>
      <family val="2"/>
      <charset val="162"/>
    </font>
    <font>
      <b/>
      <sz val="12"/>
      <color rgb="FFFF0000"/>
      <name val="Arial Black"/>
      <family val="2"/>
      <charset val="162"/>
    </font>
    <font>
      <b/>
      <sz val="11"/>
      <color rgb="FF424242"/>
      <name val="Segoe UI"/>
      <charset val="1"/>
    </font>
    <font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/>
    <xf numFmtId="0" fontId="1" fillId="0" borderId="16" xfId="0" applyFont="1" applyBorder="1"/>
    <xf numFmtId="0" fontId="4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/>
    <xf numFmtId="0" fontId="1" fillId="0" borderId="16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18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2" borderId="16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yyüp Gülbandılar" id="{82A6705A-E0CE-4138-8D97-8DD4611E3927}" userId="S::egulbandilar@ogu.edu.tr::377d9cc3-c8c1-4595-8319-064fcd517e4f" providerId="AD"/>
  <person displayName="AHMET YAZAR" id="{212A5F96-FE48-46E4-91CD-9506F9608F2A}" userId="S::ahmet.yazar@akademik.ogu.edu.tr::f76b04f8-6cb8-40d9-8047-38e5ba75737f" providerId="AD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2-12-03T12:25:10.75" personId="{212A5F96-FE48-46E4-91CD-9506F9608F2A}" id="{965B13F5-3201-4646-95D4-5EAD2C141531}">
    <text>Bölüm başkanlığının bilgisi var. Öğrenciler anlaşmazlık yaşadığından dolayı ekipteki diğer kişi çalışmadan ayrıldı.</text>
  </threadedComment>
  <threadedComment ref="D16" dT="2021-11-15T09:43:40.60" personId="{82A6705A-E0CE-4138-8D97-8DD4611E3927}" id="{F1E43EFF-9C1B-4C9B-B1BE-14C6DDB3DE63}">
    <text>Bir sonraki hücreyi doldurmayı unutmayınız hocam</text>
  </threadedComment>
  <threadedComment ref="D18" dT="2021-11-15T09:43:10.19" personId="{82A6705A-E0CE-4138-8D97-8DD4611E3927}" id="{B3A74B25-83D3-4E4C-AAC9-3391D7CAF5A2}">
    <text>Bir önceki hücreyi doldurmayı unutmayınız hocam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topLeftCell="A14" zoomScaleNormal="100" workbookViewId="0">
      <selection activeCell="G42" sqref="G42"/>
    </sheetView>
  </sheetViews>
  <sheetFormatPr defaultColWidth="8.85546875" defaultRowHeight="18.95"/>
  <cols>
    <col min="1" max="1" width="16.140625" style="1" customWidth="1"/>
    <col min="2" max="2" width="26.140625" style="1" bestFit="1" customWidth="1"/>
    <col min="3" max="3" width="58.28515625" style="1" customWidth="1"/>
    <col min="4" max="4" width="14.28515625" style="1" bestFit="1" customWidth="1"/>
    <col min="5" max="5" width="7.42578125" style="1" customWidth="1"/>
    <col min="6" max="6" width="11.42578125" style="7" bestFit="1" customWidth="1"/>
    <col min="7" max="7" width="36.42578125" style="1" bestFit="1" customWidth="1"/>
    <col min="8" max="16384" width="8.85546875" style="1"/>
  </cols>
  <sheetData>
    <row r="1" spans="1:7" ht="15.95">
      <c r="A1" s="49" t="s">
        <v>0</v>
      </c>
      <c r="B1" s="50"/>
      <c r="C1" s="50"/>
      <c r="D1" s="50"/>
      <c r="E1" s="50"/>
      <c r="F1" s="51"/>
    </row>
    <row r="2" spans="1:7" ht="15.6" customHeight="1">
      <c r="A2" s="53" t="s">
        <v>1</v>
      </c>
      <c r="B2" s="23"/>
      <c r="C2" s="57"/>
      <c r="D2" s="58"/>
      <c r="E2" s="58"/>
      <c r="F2" s="59"/>
    </row>
    <row r="3" spans="1:7" ht="30" customHeight="1">
      <c r="A3" s="53" t="s">
        <v>2</v>
      </c>
      <c r="B3" s="23"/>
      <c r="C3" s="60"/>
      <c r="D3" s="61"/>
      <c r="E3" s="61"/>
      <c r="F3" s="62"/>
    </row>
    <row r="4" spans="1:7" ht="15.95">
      <c r="A4" s="53" t="s">
        <v>3</v>
      </c>
      <c r="B4" s="23"/>
      <c r="C4" s="23"/>
      <c r="D4" s="23"/>
      <c r="E4" s="23"/>
      <c r="F4" s="63"/>
    </row>
    <row r="5" spans="1:7">
      <c r="A5" s="54"/>
      <c r="B5" s="55"/>
      <c r="C5" s="56"/>
      <c r="D5" s="2" t="s">
        <v>4</v>
      </c>
      <c r="E5" s="2" t="s">
        <v>5</v>
      </c>
      <c r="F5" s="5" t="s">
        <v>6</v>
      </c>
    </row>
    <row r="6" spans="1:7" ht="15.95">
      <c r="A6" s="47" t="s">
        <v>7</v>
      </c>
      <c r="B6" s="23" t="s">
        <v>8</v>
      </c>
      <c r="C6" s="23"/>
      <c r="D6" s="32" t="s">
        <v>9</v>
      </c>
      <c r="E6" s="13">
        <v>2</v>
      </c>
      <c r="F6" s="13">
        <v>2</v>
      </c>
    </row>
    <row r="7" spans="1:7" ht="15.95">
      <c r="A7" s="47"/>
      <c r="B7" s="52" t="s">
        <v>10</v>
      </c>
      <c r="C7" s="2" t="s">
        <v>11</v>
      </c>
      <c r="D7" s="33"/>
      <c r="E7" s="13">
        <v>2</v>
      </c>
      <c r="F7" s="13">
        <v>2</v>
      </c>
    </row>
    <row r="8" spans="1:7" ht="15.95">
      <c r="A8" s="47"/>
      <c r="B8" s="22"/>
      <c r="C8" s="2" t="s">
        <v>12</v>
      </c>
      <c r="D8" s="32" t="s">
        <v>13</v>
      </c>
      <c r="E8" s="13">
        <v>2</v>
      </c>
      <c r="F8" s="13">
        <v>2</v>
      </c>
    </row>
    <row r="9" spans="1:7" ht="15.95">
      <c r="A9" s="47"/>
      <c r="B9" s="22"/>
      <c r="C9" s="2" t="s">
        <v>14</v>
      </c>
      <c r="D9" s="33"/>
      <c r="E9" s="13">
        <v>2</v>
      </c>
      <c r="F9" s="13">
        <v>2</v>
      </c>
    </row>
    <row r="10" spans="1:7" ht="15.95">
      <c r="A10" s="47"/>
      <c r="B10" s="22"/>
      <c r="C10" s="2" t="s">
        <v>15</v>
      </c>
      <c r="D10" s="32" t="s">
        <v>16</v>
      </c>
      <c r="E10" s="13">
        <v>3</v>
      </c>
      <c r="F10" s="13">
        <v>3</v>
      </c>
    </row>
    <row r="11" spans="1:7" ht="15.6" customHeight="1">
      <c r="A11" s="47"/>
      <c r="B11" s="22" t="s">
        <v>17</v>
      </c>
      <c r="C11" s="2" t="s">
        <v>18</v>
      </c>
      <c r="D11" s="33"/>
      <c r="E11" s="13">
        <v>3</v>
      </c>
      <c r="F11" s="13">
        <v>3</v>
      </c>
    </row>
    <row r="12" spans="1:7" ht="15.6" customHeight="1">
      <c r="A12" s="47"/>
      <c r="B12" s="22"/>
      <c r="C12" s="2" t="s">
        <v>19</v>
      </c>
      <c r="D12" s="32" t="s">
        <v>20</v>
      </c>
      <c r="E12" s="13">
        <v>2</v>
      </c>
      <c r="F12" s="13">
        <v>2</v>
      </c>
    </row>
    <row r="13" spans="1:7" ht="15.6" customHeight="1">
      <c r="A13" s="47"/>
      <c r="B13" s="23" t="s">
        <v>21</v>
      </c>
      <c r="C13" s="23"/>
      <c r="D13" s="33"/>
      <c r="E13" s="13">
        <v>3</v>
      </c>
      <c r="F13" s="13">
        <v>3</v>
      </c>
    </row>
    <row r="14" spans="1:7" ht="15.6" customHeight="1">
      <c r="A14" s="47"/>
      <c r="B14" s="23" t="s">
        <v>22</v>
      </c>
      <c r="C14" s="23"/>
      <c r="D14" s="68" t="s">
        <v>23</v>
      </c>
      <c r="E14" s="13">
        <v>1</v>
      </c>
      <c r="F14" s="13">
        <v>0</v>
      </c>
      <c r="G14" s="1" t="s">
        <v>24</v>
      </c>
    </row>
    <row r="15" spans="1:7" ht="15.6" customHeight="1">
      <c r="A15" s="47"/>
      <c r="B15" s="22" t="s">
        <v>25</v>
      </c>
      <c r="C15" s="2" t="s">
        <v>26</v>
      </c>
      <c r="D15" s="69"/>
      <c r="E15" s="13">
        <v>3</v>
      </c>
      <c r="F15" s="13">
        <v>3</v>
      </c>
    </row>
    <row r="16" spans="1:7" ht="15.6" customHeight="1">
      <c r="A16" s="47"/>
      <c r="B16" s="22"/>
      <c r="C16" s="2" t="s">
        <v>27</v>
      </c>
      <c r="D16" s="13" t="s">
        <v>28</v>
      </c>
      <c r="E16" s="13">
        <v>2</v>
      </c>
      <c r="F16" s="13">
        <v>2</v>
      </c>
    </row>
    <row r="17" spans="1:7" ht="33.950000000000003">
      <c r="A17" s="47"/>
      <c r="B17" s="3" t="s">
        <v>29</v>
      </c>
      <c r="C17" s="4" t="s">
        <v>30</v>
      </c>
      <c r="D17" s="11"/>
      <c r="E17" s="64">
        <f>IF(D17&gt;0,25,SUM(F6:F16))</f>
        <v>24</v>
      </c>
      <c r="F17" s="65"/>
    </row>
    <row r="18" spans="1:7" ht="15.6" customHeight="1">
      <c r="A18" s="47" t="s">
        <v>31</v>
      </c>
      <c r="B18" s="23" t="s">
        <v>32</v>
      </c>
      <c r="C18" s="23"/>
      <c r="D18" s="11" t="s">
        <v>28</v>
      </c>
      <c r="E18" s="13">
        <v>3</v>
      </c>
      <c r="F18" s="13">
        <v>3</v>
      </c>
    </row>
    <row r="19" spans="1:7" ht="15.6" customHeight="1">
      <c r="A19" s="47"/>
      <c r="B19" s="22" t="s">
        <v>33</v>
      </c>
      <c r="C19" s="2" t="s">
        <v>34</v>
      </c>
      <c r="D19" s="11" t="s">
        <v>35</v>
      </c>
      <c r="E19" s="13">
        <v>6</v>
      </c>
      <c r="F19" s="13">
        <v>6</v>
      </c>
    </row>
    <row r="20" spans="1:7" ht="15.95">
      <c r="A20" s="47"/>
      <c r="B20" s="22"/>
      <c r="C20" s="2" t="s">
        <v>36</v>
      </c>
      <c r="D20" s="32" t="s">
        <v>37</v>
      </c>
      <c r="E20" s="13">
        <v>5</v>
      </c>
      <c r="F20" s="13">
        <v>5</v>
      </c>
    </row>
    <row r="21" spans="1:7" ht="15.6" customHeight="1">
      <c r="A21" s="47"/>
      <c r="B21" s="22"/>
      <c r="C21" s="2" t="s">
        <v>38</v>
      </c>
      <c r="D21" s="33"/>
      <c r="E21" s="13">
        <v>5</v>
      </c>
      <c r="F21" s="13">
        <v>5</v>
      </c>
    </row>
    <row r="22" spans="1:7" ht="33.950000000000003">
      <c r="A22" s="47"/>
      <c r="B22" s="22"/>
      <c r="C22" s="4" t="s">
        <v>39</v>
      </c>
      <c r="D22" s="20" t="s">
        <v>40</v>
      </c>
      <c r="E22" s="11">
        <v>3</v>
      </c>
      <c r="F22" s="11">
        <v>3</v>
      </c>
    </row>
    <row r="23" spans="1:7" ht="15.6" customHeight="1">
      <c r="A23" s="47"/>
      <c r="B23" s="22"/>
      <c r="C23" s="2" t="s">
        <v>41</v>
      </c>
      <c r="D23" s="34" t="s">
        <v>42</v>
      </c>
      <c r="E23" s="13">
        <v>3</v>
      </c>
      <c r="F23" s="13">
        <v>2</v>
      </c>
      <c r="G23" s="1" t="s">
        <v>43</v>
      </c>
    </row>
    <row r="24" spans="1:7" ht="31.35" customHeight="1">
      <c r="A24" s="47"/>
      <c r="B24" s="2"/>
      <c r="C24" s="4" t="s">
        <v>44</v>
      </c>
      <c r="D24" s="33"/>
      <c r="E24" s="11">
        <v>-10</v>
      </c>
      <c r="F24" s="6"/>
    </row>
    <row r="25" spans="1:7" ht="15.95">
      <c r="A25" s="47"/>
      <c r="B25" s="24" t="s">
        <v>29</v>
      </c>
      <c r="C25" s="66"/>
      <c r="D25" s="67"/>
      <c r="E25" s="25">
        <f>SUM(F18:F24)</f>
        <v>24</v>
      </c>
      <c r="F25" s="26"/>
    </row>
    <row r="26" spans="1:7" ht="15.6" customHeight="1">
      <c r="A26" s="47" t="s">
        <v>45</v>
      </c>
      <c r="B26" s="23" t="s">
        <v>46</v>
      </c>
      <c r="C26" s="24"/>
      <c r="D26" s="15" t="s">
        <v>47</v>
      </c>
      <c r="E26" s="12">
        <v>3</v>
      </c>
      <c r="F26" s="13">
        <v>2</v>
      </c>
      <c r="G26" s="1" t="s">
        <v>48</v>
      </c>
    </row>
    <row r="27" spans="1:7" ht="15.6" customHeight="1">
      <c r="A27" s="47"/>
      <c r="B27" s="23" t="s">
        <v>49</v>
      </c>
      <c r="C27" s="23"/>
      <c r="D27" s="14" t="s">
        <v>50</v>
      </c>
      <c r="E27" s="13">
        <v>7</v>
      </c>
      <c r="F27" s="13">
        <v>7</v>
      </c>
    </row>
    <row r="28" spans="1:7" ht="37.5" customHeight="1">
      <c r="A28" s="47"/>
      <c r="B28" s="22" t="s">
        <v>51</v>
      </c>
      <c r="C28" s="19" t="s">
        <v>52</v>
      </c>
      <c r="D28" s="35" t="s">
        <v>53</v>
      </c>
      <c r="E28" s="17">
        <v>5</v>
      </c>
      <c r="F28" s="11">
        <v>4</v>
      </c>
    </row>
    <row r="29" spans="1:7" ht="15.6" customHeight="1">
      <c r="A29" s="47"/>
      <c r="B29" s="22"/>
      <c r="C29" s="9" t="s">
        <v>54</v>
      </c>
      <c r="D29" s="36"/>
      <c r="E29" s="12">
        <v>5</v>
      </c>
      <c r="F29" s="13">
        <v>4</v>
      </c>
    </row>
    <row r="30" spans="1:7" ht="15.6" customHeight="1">
      <c r="A30" s="47"/>
      <c r="B30" s="22"/>
      <c r="C30" s="9" t="s">
        <v>55</v>
      </c>
      <c r="D30" s="31" t="s">
        <v>56</v>
      </c>
      <c r="E30" s="12">
        <v>5</v>
      </c>
      <c r="F30" s="13">
        <v>5</v>
      </c>
      <c r="G30" s="21"/>
    </row>
    <row r="31" spans="1:7" ht="31.35" customHeight="1">
      <c r="A31" s="47"/>
      <c r="B31" s="22"/>
      <c r="C31" s="16" t="s">
        <v>57</v>
      </c>
      <c r="D31" s="31"/>
      <c r="E31" s="12">
        <v>-10</v>
      </c>
      <c r="F31" s="6"/>
    </row>
    <row r="32" spans="1:7" ht="18.600000000000001" customHeight="1">
      <c r="A32" s="47"/>
      <c r="B32" s="27" t="s">
        <v>58</v>
      </c>
      <c r="C32" s="28"/>
      <c r="D32" s="29"/>
      <c r="E32" s="28"/>
      <c r="F32" s="30"/>
    </row>
    <row r="33" spans="1:7" ht="15.6" customHeight="1">
      <c r="A33" s="47"/>
      <c r="B33" s="22" t="s">
        <v>59</v>
      </c>
      <c r="C33" s="9" t="s">
        <v>60</v>
      </c>
      <c r="D33" s="31" t="s">
        <v>61</v>
      </c>
      <c r="E33" s="12">
        <v>5</v>
      </c>
      <c r="F33" s="12">
        <v>5</v>
      </c>
    </row>
    <row r="34" spans="1:7" ht="15.6" customHeight="1">
      <c r="A34" s="47"/>
      <c r="B34" s="22"/>
      <c r="C34" s="9" t="s">
        <v>62</v>
      </c>
      <c r="D34" s="31"/>
      <c r="E34" s="12">
        <v>5</v>
      </c>
      <c r="F34" s="12">
        <v>5</v>
      </c>
    </row>
    <row r="35" spans="1:7" ht="15.95">
      <c r="A35" s="47"/>
      <c r="B35" s="22" t="s">
        <v>63</v>
      </c>
      <c r="C35" s="9" t="s">
        <v>64</v>
      </c>
      <c r="D35" s="31" t="s">
        <v>65</v>
      </c>
      <c r="E35" s="12">
        <v>5</v>
      </c>
      <c r="F35" s="13">
        <v>5</v>
      </c>
    </row>
    <row r="36" spans="1:7" ht="15.6" customHeight="1">
      <c r="A36" s="47"/>
      <c r="B36" s="22"/>
      <c r="C36" s="9" t="s">
        <v>66</v>
      </c>
      <c r="D36" s="31"/>
      <c r="E36" s="12">
        <v>5</v>
      </c>
      <c r="F36" s="13">
        <v>5</v>
      </c>
    </row>
    <row r="37" spans="1:7" ht="15.6" customHeight="1">
      <c r="A37" s="47"/>
      <c r="B37" s="22"/>
      <c r="C37" s="9" t="s">
        <v>67</v>
      </c>
      <c r="D37" s="31" t="s">
        <v>68</v>
      </c>
      <c r="E37" s="12">
        <v>5</v>
      </c>
      <c r="F37" s="13"/>
      <c r="G37" s="1" t="s">
        <v>69</v>
      </c>
    </row>
    <row r="38" spans="1:7" ht="17.100000000000001">
      <c r="A38" s="47"/>
      <c r="B38" s="2" t="s">
        <v>70</v>
      </c>
      <c r="C38" s="9" t="s">
        <v>71</v>
      </c>
      <c r="D38" s="31"/>
      <c r="E38" s="12">
        <v>5</v>
      </c>
      <c r="F38" s="13"/>
      <c r="G38" s="21" t="s">
        <v>72</v>
      </c>
    </row>
    <row r="39" spans="1:7" ht="15.95">
      <c r="A39" s="47"/>
      <c r="B39" s="2"/>
      <c r="C39" s="9" t="s">
        <v>73</v>
      </c>
      <c r="D39" s="31" t="s">
        <v>74</v>
      </c>
      <c r="E39" s="12">
        <v>5</v>
      </c>
      <c r="F39" s="13"/>
      <c r="G39" s="1" t="s">
        <v>72</v>
      </c>
    </row>
    <row r="40" spans="1:7" ht="15.95">
      <c r="A40" s="47"/>
      <c r="B40" s="2"/>
      <c r="C40" s="9" t="s">
        <v>75</v>
      </c>
      <c r="D40" s="31"/>
      <c r="E40" s="12">
        <v>5</v>
      </c>
      <c r="F40" s="13"/>
      <c r="G40" s="1" t="s">
        <v>72</v>
      </c>
    </row>
    <row r="41" spans="1:7" ht="15.95">
      <c r="A41" s="47"/>
      <c r="B41" s="42" t="s">
        <v>29</v>
      </c>
      <c r="C41" s="43"/>
      <c r="D41" s="18"/>
      <c r="E41" s="41">
        <f>IF(COUNTIF((F33:F40), "&lt;&gt;")&gt;0, ((SUM(F33:F40)/COUNTIF((F33:F40),"&lt;&gt;"))*3)+SUM(F26:F31), (IF(COUNTIF((F26:F31),"&lt;&gt;")&gt;0, 15+SUM(F26:F31),0)))</f>
        <v>37</v>
      </c>
      <c r="F41" s="40"/>
    </row>
    <row r="42" spans="1:7" ht="27" customHeight="1">
      <c r="A42" s="46" t="s">
        <v>76</v>
      </c>
      <c r="B42" s="44" t="s">
        <v>77</v>
      </c>
      <c r="C42" s="44"/>
      <c r="D42" s="48" t="s">
        <v>78</v>
      </c>
      <c r="E42" s="17">
        <v>5</v>
      </c>
      <c r="F42" s="13">
        <v>5</v>
      </c>
    </row>
    <row r="43" spans="1:7" ht="26.1" customHeight="1">
      <c r="A43" s="46"/>
      <c r="B43" s="44" t="s">
        <v>79</v>
      </c>
      <c r="C43" s="44"/>
      <c r="D43" s="48"/>
      <c r="E43" s="17">
        <v>5</v>
      </c>
      <c r="F43" s="13">
        <v>5</v>
      </c>
    </row>
    <row r="44" spans="1:7" ht="15.95">
      <c r="A44" s="47"/>
      <c r="B44" s="45" t="s">
        <v>29</v>
      </c>
      <c r="C44" s="45"/>
      <c r="D44" s="8"/>
      <c r="E44" s="39">
        <f>SUM(F42:F43)</f>
        <v>10</v>
      </c>
      <c r="F44" s="40"/>
    </row>
    <row r="45" spans="1:7" ht="20.100000000000001" thickBot="1">
      <c r="A45" s="37" t="s">
        <v>80</v>
      </c>
      <c r="B45" s="38"/>
      <c r="C45" s="38"/>
      <c r="D45" s="38"/>
      <c r="E45" s="38"/>
      <c r="F45" s="10">
        <f>IF(SUM(E17,E25,E41,E44)&gt;100, "Değerlendirme Hatası", SUM(E17,E25,E41,E44))</f>
        <v>95</v>
      </c>
    </row>
  </sheetData>
  <mergeCells count="50">
    <mergeCell ref="D39:D40"/>
    <mergeCell ref="D37:D38"/>
    <mergeCell ref="D35:D36"/>
    <mergeCell ref="A18:A25"/>
    <mergeCell ref="C4:F4"/>
    <mergeCell ref="E17:F17"/>
    <mergeCell ref="B15:B16"/>
    <mergeCell ref="A26:A41"/>
    <mergeCell ref="B25:D25"/>
    <mergeCell ref="B19:B23"/>
    <mergeCell ref="B33:B34"/>
    <mergeCell ref="D6:D7"/>
    <mergeCell ref="D8:D9"/>
    <mergeCell ref="D10:D11"/>
    <mergeCell ref="D12:D13"/>
    <mergeCell ref="D14:D15"/>
    <mergeCell ref="A1:F1"/>
    <mergeCell ref="B7:B10"/>
    <mergeCell ref="B11:B12"/>
    <mergeCell ref="B6:C6"/>
    <mergeCell ref="B13:C13"/>
    <mergeCell ref="A6:A17"/>
    <mergeCell ref="A2:B2"/>
    <mergeCell ref="A3:B3"/>
    <mergeCell ref="A4:B4"/>
    <mergeCell ref="B14:C14"/>
    <mergeCell ref="A5:C5"/>
    <mergeCell ref="C2:F2"/>
    <mergeCell ref="C3:F3"/>
    <mergeCell ref="A45:E45"/>
    <mergeCell ref="E44:F44"/>
    <mergeCell ref="E41:F41"/>
    <mergeCell ref="B41:C41"/>
    <mergeCell ref="B42:C42"/>
    <mergeCell ref="B43:C43"/>
    <mergeCell ref="B44:C44"/>
    <mergeCell ref="A42:A44"/>
    <mergeCell ref="D42:D43"/>
    <mergeCell ref="B35:B37"/>
    <mergeCell ref="B18:C18"/>
    <mergeCell ref="B26:C26"/>
    <mergeCell ref="E25:F25"/>
    <mergeCell ref="B27:C27"/>
    <mergeCell ref="B28:B31"/>
    <mergeCell ref="B32:F32"/>
    <mergeCell ref="D30:D31"/>
    <mergeCell ref="D33:D34"/>
    <mergeCell ref="D20:D21"/>
    <mergeCell ref="D23:D24"/>
    <mergeCell ref="D28:D29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9674-4AB8-4AB5-BA80-A81F5E9B89D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3d02cc-2bae-429a-8ad4-30bb3e19d038">
      <Terms xmlns="http://schemas.microsoft.com/office/infopath/2007/PartnerControls"/>
    </lcf76f155ced4ddcb4097134ff3c332f>
    <TaxCatchAll xmlns="e9918f83-2f79-48f0-9c1b-f45975200e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74F56B30FA3440BE41DB852F0C5A75" ma:contentTypeVersion="15" ma:contentTypeDescription="Yeni belge oluşturun." ma:contentTypeScope="" ma:versionID="81f9edce9d8daff2ec2cfbee41f9b05b">
  <xsd:schema xmlns:xsd="http://www.w3.org/2001/XMLSchema" xmlns:xs="http://www.w3.org/2001/XMLSchema" xmlns:p="http://schemas.microsoft.com/office/2006/metadata/properties" xmlns:ns2="f33d02cc-2bae-429a-8ad4-30bb3e19d038" xmlns:ns3="e9918f83-2f79-48f0-9c1b-f45975200ef5" targetNamespace="http://schemas.microsoft.com/office/2006/metadata/properties" ma:root="true" ma:fieldsID="4a045069a5c61a108c9dbf3bb224f2f1" ns2:_="" ns3:_="">
    <xsd:import namespace="f33d02cc-2bae-429a-8ad4-30bb3e19d038"/>
    <xsd:import namespace="e9918f83-2f79-48f0-9c1b-f45975200ef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d02cc-2bae-429a-8ad4-30bb3e19d03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Resim Etiketleri" ma:readOnly="false" ma:fieldId="{5cf76f15-5ced-4ddc-b409-7134ff3c332f}" ma:taxonomyMulti="true" ma:sspId="d1a462d5-bc55-4024-abb3-a02e193e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18f83-2f79-48f0-9c1b-f45975200ef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b39d49a-c24f-47ab-b58f-6ad79802c131}" ma:internalName="TaxCatchAll" ma:showField="CatchAllData" ma:web="e9918f83-2f79-48f0-9c1b-f4597520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E88B0C-1B13-46BF-8B93-510F535B117D}"/>
</file>

<file path=customXml/itemProps2.xml><?xml version="1.0" encoding="utf-8"?>
<ds:datastoreItem xmlns:ds="http://schemas.openxmlformats.org/officeDocument/2006/customXml" ds:itemID="{18C761D6-BE86-4CA1-AC74-0CC2974FAF96}"/>
</file>

<file path=customXml/itemProps3.xml><?xml version="1.0" encoding="utf-8"?>
<ds:datastoreItem xmlns:ds="http://schemas.openxmlformats.org/officeDocument/2006/customXml" ds:itemID="{AFDF76AE-B78A-4843-B13E-01D9AF26C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Eyyüp</dc:creator>
  <cp:keywords/>
  <dc:description/>
  <cp:lastModifiedBy>ILKER OZCELIK</cp:lastModifiedBy>
  <cp:revision/>
  <dcterms:created xsi:type="dcterms:W3CDTF">2016-11-14T11:49:22Z</dcterms:created>
  <dcterms:modified xsi:type="dcterms:W3CDTF">2026-04-23T18:04:06Z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0x010100CF74F56B30FA3440BE41DB852F0C5A75</vt:lpwstr>
  </property>
  <property fmtid="{D5CDD505-2E9C-101B-9397-08002B2CF9AE}" pid="3" name="Order">
    <vt:r8>4719900</vt:r8>
  </property>
  <property fmtid="{D5CDD505-2E9C-101B-9397-08002B2CF9AE}" pid="4" name="ComplianceAssetId">
    <vt:lpwstr/>
  </property>
  <property fmtid="{D5CDD505-2E9C-101B-9397-08002B2CF9AE}" pid="5" name="MediaServiceImageTags">
    <vt:lpwstr/>
  </property>
</Properties>
</file>